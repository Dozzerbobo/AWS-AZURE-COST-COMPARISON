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6c832e69b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7a898aa8dd4bf2"/>
    <x:sheet xmlns:r="http://schemas.openxmlformats.org/officeDocument/2006/relationships" name="Regional Analysis" sheetId="2" r:id="R2a63607767a84837"/>
    <x:sheet xmlns:r="http://schemas.openxmlformats.org/officeDocument/2006/relationships" name="Assumptions" sheetId="3" r:id="R9f7a835f5dcd4d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.00%"/>
  </x:numFmts>
  <x:fonts count="4">
    <x:font>
      <x:sz val="11"/>
      <x:name val="Carlito"/>
    </x:font>
    <x:font>
      <x:sz val="11"/>
      <x:name val="Aptos"/>
    </x:font>
    <x:font>
      <x:b/>
      <x:sz val="13"/>
      <x:color rgb="FFFFFFFF"/>
      <x:name val="Aptos"/>
    </x:font>
    <x:font>
      <x:b/>
      <x:sz val="11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9c09a91032438f" /><Relationship Type="http://schemas.openxmlformats.org/officeDocument/2006/relationships/theme" Target="/xl/theme/theme1.xml" Id="R10d6dbcccf88457a" /><Relationship Type="http://schemas.openxmlformats.org/officeDocument/2006/relationships/sharedStrings" Target="/xl/sharedStrings.xml" Id="R19cd1cddca9f4f9a" /><Relationship Type="http://schemas.openxmlformats.org/officeDocument/2006/relationships/worksheet" Target="/xl/worksheets/sheet1.xml" Id="R367a898aa8dd4bf2" /><Relationship Type="http://schemas.openxmlformats.org/officeDocument/2006/relationships/worksheet" Target="/xl/worksheets/sheet2.xml" Id="R2a63607767a84837" /><Relationship Type="http://schemas.openxmlformats.org/officeDocument/2006/relationships/worksheet" Target="/xl/worksheets/sheet3.xml" Id="R9f7a835f5dcd4d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3.130001068115234" hidden="0" customWidth="1"/>
    <x:col min="2" max="2" width="18.1299991607666" hidden="0" customWidth="1"/>
    <x:col min="3" max="3" width="11" hidden="0" customWidth="1"/>
    <x:col min="4" max="4" width="10" hidden="0" customWidth="1"/>
    <x:col min="5" max="5" width="17.1299991607666" hidden="0" customWidth="1"/>
    <x:col min="6" max="6" width="11.880000114440918" hidden="0" customWidth="1"/>
    <x:col min="7" max="7" width="10.75" hidden="0" customWidth="1"/>
    <x:col min="8" max="8" width="22" hidden="0" customWidth="1"/>
  </x:cols>
  <x:sheetData>
    <x:row r="1">
      <x:c r="A1" s="6" t="str">
        <x:v>AWS vs Azure Cost Comparison - Three Services</x:v>
      </x:c>
      <x:c r="B1" s="6" t="str"/>
      <x:c r="C1" s="6" t="str"/>
      <x:c r="D1" s="6" t="str"/>
      <x:c r="E1" s="6" t="str"/>
      <x:c r="F1" s="6" t="str"/>
      <x:c r="G1" s="6"/>
      <x:c r="H1" s="6"/>
    </x:row>
    <x:row r="2">
      <x:c r="A2" s="12" t="str">
        <x:v>Service Category</x:v>
      </x:c>
      <x:c r="B2" s="12" t="str">
        <x:v>AWS Service</x:v>
      </x:c>
      <x:c r="C2" s="12" t="str">
        <x:v>AWS Monthly</x:v>
      </x:c>
      <x:c r="D2" s="12" t="str">
        <x:v>AWS Annual</x:v>
      </x:c>
      <x:c r="E2" s="12" t="str">
        <x:v>Azure Service</x:v>
      </x:c>
      <x:c r="F2" s="12" t="str">
        <x:v>Azure Monthly</x:v>
      </x:c>
      <x:c r="G2" s="12" t="str">
        <x:v>Azure Annual</x:v>
      </x:c>
      <x:c r="H2" s="12" t="str">
        <x:v>% Difference (Azure vs AWS)</x:v>
      </x:c>
    </x:row>
    <x:row r="3">
      <x:c r="A3" s="2" t="str">
        <x:v>Compute</x:v>
      </x:c>
      <x:c r="B3" s="2" t="str">
        <x:v>Amazon EC2</x:v>
      </x:c>
      <x:c r="C3" s="16" t="n">
        <x:v>15.04</x:v>
      </x:c>
      <x:c r="D3" s="16" t="n">
        <x:f>C3*12</x:f>
        <x:v>180.48</x:v>
      </x:c>
      <x:c r="E3" s="16" t="str">
        <x:v>Azure Virtual Machine</x:v>
      </x:c>
      <x:c r="F3" s="16" t="n">
        <x:v>39.64</x:v>
      </x:c>
      <x:c r="G3" s="16" t="n">
        <x:f>F3*12</x:f>
        <x:v>475.68</x:v>
      </x:c>
      <x:c r="H3" s="18" t="n">
        <x:f>(F3-C3)/C3</x:f>
        <x:v>1.6356382978723407</x:v>
      </x:c>
    </x:row>
    <x:row r="4">
      <x:c r="A4" s="2" t="str">
        <x:v>Storage</x:v>
      </x:c>
      <x:c r="B4" s="2" t="str">
        <x:v>Amazon S3</x:v>
      </x:c>
      <x:c r="C4" s="16" t="n">
        <x:v>2.3</x:v>
      </x:c>
      <x:c r="D4" s="16" t="n">
        <x:f>C4*12</x:f>
        <x:v>27.599999999999998</x:v>
      </x:c>
      <x:c r="E4" s="16" t="str">
        <x:v>Azure Blob Storage</x:v>
      </x:c>
      <x:c r="F4" s="16" t="n">
        <x:v>3.12</x:v>
      </x:c>
      <x:c r="G4" s="16" t="n">
        <x:f>F4*12</x:f>
        <x:v>37.44</x:v>
      </x:c>
      <x:c r="H4" s="18" t="n">
        <x:f>(F4-C4)/C4</x:f>
        <x:v>0.35652173913043494</x:v>
      </x:c>
    </x:row>
    <x:row r="5">
      <x:c r="A5" s="2" t="str">
        <x:v>Database</x:v>
      </x:c>
      <x:c r="B5" s="2" t="str">
        <x:v>Amazon RDS for MySQL</x:v>
      </x:c>
      <x:c r="C5" s="16" t="n">
        <x:v>199.66</x:v>
      </x:c>
      <x:c r="D5" s="16" t="n">
        <x:f>C5*12</x:f>
        <x:v>2395.92</x:v>
      </x:c>
      <x:c r="E5" s="16" t="str">
        <x:v>Azure SQL Database</x:v>
      </x:c>
      <x:c r="F5" s="16" t="n">
        <x:v>450.15</x:v>
      </x:c>
      <x:c r="G5" s="16" t="n">
        <x:f>F5*12</x:f>
        <x:v>5401.799999999999</x:v>
      </x:c>
      <x:c r="H5" s="18" t="n">
        <x:f>(F5-C5)/C5</x:f>
        <x:v>1.2545827907442653</x:v>
      </x:c>
    </x:row>
    <x:row r="6">
      <x:c r="A6" s="2" t="str">
        <x:v>TOTAL</x:v>
      </x:c>
      <x:c r="B6" s="2" t="str"/>
      <x:c r="C6" s="16" t="n">
        <x:f>SUM(C3:C5)</x:f>
        <x:v>217</x:v>
      </x:c>
      <x:c r="D6" s="16" t="n">
        <x:f>SUM(D3:D5)</x:f>
        <x:v>2604</x:v>
      </x:c>
      <x:c r="E6" s="16" t="str"/>
      <x:c r="F6" s="16" t="n">
        <x:f>SUM(F3:F5)</x:f>
        <x:v>492.90999999999997</x:v>
      </x:c>
      <x:c r="G6" s="16" t="n">
        <x:f>SUM(G3:G5)</x:f>
        <x:v>5914.919999999999</x:v>
      </x:c>
      <x:c r="H6" s="18" t="n">
        <x:f>(F6-C6)/C6</x:f>
        <x:v>1.27147465437788</x:v>
      </x:c>
    </x:row>
    <x:row r="7">
      <x:c r="A7" s="2"/>
      <x:c r="B7" s="2"/>
      <x:c r="C7" s="16"/>
      <x:c r="D7" s="16"/>
      <x:c r="E7" s="16"/>
      <x:c r="F7" s="16"/>
      <x:c r="G7" s="16"/>
      <x:c r="H7" s="18"/>
    </x:row>
    <x:row r="8">
      <x:c r="A8" s="2"/>
      <x:c r="B8" s="2"/>
      <x:c r="C8" s="16"/>
      <x:c r="D8" s="16"/>
      <x:c r="E8" s="16"/>
      <x:c r="F8" s="16"/>
      <x:c r="G8" s="16"/>
      <x:c r="H8" s="18"/>
    </x:row>
    <x:row r="9">
      <x:c r="A9" s="2"/>
      <x:c r="B9" s="2"/>
      <x:c r="C9" s="16"/>
      <x:c r="D9" s="16"/>
      <x:c r="E9" s="16"/>
      <x:c r="F9" s="16"/>
      <x:c r="G9" s="16"/>
      <x:c r="H9" s="18"/>
    </x:row>
    <x:row r="10">
      <x:c r="A10" s="2"/>
      <x:c r="B10" s="2"/>
      <x:c r="C10" s="16"/>
      <x:c r="D10" s="16"/>
      <x:c r="E10" s="16"/>
      <x:c r="F10" s="16"/>
      <x:c r="G10" s="16"/>
      <x:c r="H10" s="18"/>
    </x:row>
    <x:row r="11">
      <x:c r="A11" s="2"/>
      <x:c r="B11" s="2"/>
      <x:c r="C11" s="16"/>
      <x:c r="D11" s="16"/>
      <x:c r="E11" s="16"/>
      <x:c r="F11" s="16"/>
      <x:c r="G11" s="16"/>
      <x:c r="H11" s="18"/>
    </x:row>
    <x:row r="12">
      <x:c r="A12" s="2"/>
      <x:c r="B12" s="2"/>
      <x:c r="C12" s="16"/>
      <x:c r="D12" s="16"/>
      <x:c r="E12" s="16"/>
      <x:c r="F12" s="16"/>
      <x:c r="G12" s="16"/>
      <x:c r="H12" s="18"/>
    </x:row>
    <x:row r="13">
      <x:c r="A13" s="2"/>
      <x:c r="B13" s="2"/>
      <x:c r="C13" s="16"/>
      <x:c r="D13" s="16"/>
      <x:c r="E13" s="16"/>
      <x:c r="F13" s="16"/>
      <x:c r="G13" s="16"/>
      <x:c r="H13" s="18"/>
    </x:row>
    <x:row r="14">
      <x:c r="A14" s="2"/>
      <x:c r="B14" s="2"/>
      <x:c r="C14" s="16"/>
      <x:c r="D14" s="16"/>
      <x:c r="E14" s="16"/>
      <x:c r="F14" s="16"/>
      <x:c r="G14" s="16"/>
      <x:c r="H14" s="18"/>
    </x:row>
    <x:row r="15">
      <x:c r="A15" s="2"/>
      <x:c r="B15" s="2"/>
      <x:c r="C15" s="16"/>
      <x:c r="D15" s="16"/>
      <x:c r="E15" s="16"/>
      <x:c r="F15" s="16"/>
      <x:c r="G15" s="16"/>
      <x:c r="H15" s="18"/>
    </x:row>
    <x:row r="16">
      <x:c r="A16" s="2"/>
      <x:c r="B16" s="2"/>
      <x:c r="C16" s="16"/>
      <x:c r="D16" s="16"/>
      <x:c r="E16" s="16"/>
      <x:c r="F16" s="16"/>
      <x:c r="G16" s="16"/>
      <x:c r="H16" s="18"/>
    </x:row>
    <x:row r="17">
      <x:c r="A17" s="2"/>
      <x:c r="B17" s="2"/>
      <x:c r="C17" s="16"/>
      <x:c r="D17" s="16"/>
      <x:c r="E17" s="16"/>
      <x:c r="F17" s="16"/>
      <x:c r="G17" s="16"/>
      <x:c r="H17" s="18"/>
    </x:row>
    <x:row r="18">
      <x:c r="A18" s="2"/>
      <x:c r="B18" s="2"/>
      <x:c r="C18" s="16"/>
      <x:c r="D18" s="16"/>
      <x:c r="E18" s="16"/>
      <x:c r="F18" s="16"/>
      <x:c r="G18" s="16"/>
      <x:c r="H18" s="18"/>
    </x:row>
    <x:row r="19">
      <x:c r="A19" s="2"/>
      <x:c r="B19" s="2"/>
      <x:c r="C19" s="16"/>
      <x:c r="D19" s="16"/>
      <x:c r="E19" s="16"/>
      <x:c r="F19" s="16"/>
      <x:c r="G19" s="16"/>
      <x:c r="H19" s="18"/>
    </x:row>
    <x:row r="20">
      <x:c r="A20" s="2"/>
      <x:c r="B20" s="2"/>
      <x:c r="C20" s="16"/>
      <x:c r="D20" s="16"/>
      <x:c r="E20" s="16"/>
      <x:c r="F20" s="16"/>
      <x:c r="G20" s="16"/>
      <x:c r="H20" s="18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8.25" hidden="0" customWidth="1"/>
    <x:col min="3" max="3" width="8.75" hidden="0" customWidth="1"/>
    <x:col min="4" max="4" width="7.380000114440918" hidden="0" customWidth="1"/>
    <x:col min="5" max="5" width="9" hidden="0" customWidth="1"/>
    <x:col min="6" max="6" width="13.130000114440918" hidden="0" customWidth="1"/>
    <x:col min="7" max="7" width="11.880000114440918" hidden="0" customWidth="1"/>
    <x:col min="8" max="8" width="17.75" hidden="0" customWidth="1"/>
  </x:cols>
  <x:sheetData>
    <x:row r="1">
      <x:c r="A1" s="6" t="str">
        <x:v>Region</x:v>
      </x:c>
      <x:c r="B1" s="6" t="str">
        <x:v>Provider</x:v>
      </x:c>
      <x:c r="C1" s="6" t="str">
        <x:v>Compute</x:v>
      </x:c>
      <x:c r="D1" s="6" t="str">
        <x:v>Storage</x:v>
      </x:c>
      <x:c r="E1" s="6" t="str">
        <x:v>Database</x:v>
      </x:c>
      <x:c r="F1" s="6" t="str">
        <x:v>Monthly Total</x:v>
      </x:c>
      <x:c r="G1" s="6" t="str">
        <x:v>Annual Total</x:v>
      </x:c>
      <x:c r="H1" s="6" t="str">
        <x:v>Variance vs US East</x:v>
      </x:c>
    </x:row>
    <x:row r="2">
      <x:c r="A2" s="12" t="str">
        <x:v>US East</x:v>
      </x:c>
      <x:c r="B2" s="12" t="str">
        <x:v>AWS</x:v>
      </x:c>
      <x:c r="C2" s="12" t="n">
        <x:v>15.04</x:v>
      </x:c>
      <x:c r="D2" s="12" t="n">
        <x:v>2.3</x:v>
      </x:c>
      <x:c r="E2" s="12" t="n">
        <x:v>199.66</x:v>
      </x:c>
      <x:c r="F2" s="12" t="n">
        <x:f>SUM(C2:E2)</x:f>
        <x:v>217</x:v>
      </x:c>
      <x:c r="G2" s="12" t="n">
        <x:f>F2*12</x:f>
        <x:v>2604</x:v>
      </x:c>
      <x:c r="H2" s="12" t="n">
        <x:f>(F2-$F$2)/$F$2</x:f>
        <x:v>0</x:v>
      </x:c>
    </x:row>
    <x:row r="3">
      <x:c r="A3" s="2" t="str">
        <x:v>West Europe</x:v>
      </x:c>
      <x:c r="B3" s="2" t="str">
        <x:v>AWS</x:v>
      </x:c>
      <x:c r="C3" s="16" t="n">
        <x:v>16.84</x:v>
      </x:c>
      <x:c r="D3" s="16" t="n">
        <x:v>2.55</x:v>
      </x:c>
      <x:c r="E3" s="16" t="n">
        <x:v>223.62</x:v>
      </x:c>
      <x:c r="F3" s="16" t="n">
        <x:f>SUM(C3:E3)</x:f>
        <x:v>243.01</x:v>
      </x:c>
      <x:c r="G3" s="16" t="n">
        <x:f>F3*12</x:f>
        <x:v>2916.12</x:v>
      </x:c>
      <x:c r="H3" s="18" t="n">
        <x:f>(F3-$F$2)/$F$2</x:f>
        <x:v>0.11986175115207369</x:v>
      </x:c>
    </x:row>
    <x:row r="4">
      <x:c r="A4" s="2" t="str">
        <x:v>Southeast Asia</x:v>
      </x:c>
      <x:c r="B4" s="2" t="str">
        <x:v>AWS</x:v>
      </x:c>
      <x:c r="C4" s="16" t="n">
        <x:v>17.44</x:v>
      </x:c>
      <x:c r="D4" s="16" t="n">
        <x:v>2.7</x:v>
      </x:c>
      <x:c r="E4" s="16" t="n">
        <x:v>231.61</x:v>
      </x:c>
      <x:c r="F4" s="16" t="n">
        <x:f>SUM(C4:E4)</x:f>
        <x:v>251.75</x:v>
      </x:c>
      <x:c r="G4" s="16" t="n">
        <x:f>F4*12</x:f>
        <x:v>3021</x:v>
      </x:c>
      <x:c r="H4" s="18" t="n">
        <x:f>(F4-$F$2)/$F$2</x:f>
        <x:v>0.16013824884792627</x:v>
      </x:c>
    </x:row>
    <x:row r="5">
      <x:c r="A5" s="2" t="str">
        <x:v>US East</x:v>
      </x:c>
      <x:c r="B5" s="2" t="str">
        <x:v>Azure</x:v>
      </x:c>
      <x:c r="C5" s="16" t="n">
        <x:v>39.64</x:v>
      </x:c>
      <x:c r="D5" s="16" t="n">
        <x:v>3.12</x:v>
      </x:c>
      <x:c r="E5" s="16" t="n">
        <x:v>450.15</x:v>
      </x:c>
      <x:c r="F5" s="16" t="n">
        <x:f>SUM(C5:E5)</x:f>
        <x:v>492.90999999999997</x:v>
      </x:c>
      <x:c r="G5" s="16" t="n">
        <x:f>F5*12</x:f>
        <x:v>5914.92</x:v>
      </x:c>
      <x:c r="H5" s="18" t="n">
        <x:f>(F5-$F$5)/$F$5</x:f>
        <x:v>0</x:v>
      </x:c>
    </x:row>
    <x:row r="6">
      <x:c r="A6" s="2" t="str">
        <x:v>West Europe</x:v>
      </x:c>
      <x:c r="B6" s="2" t="str">
        <x:v>Azure</x:v>
      </x:c>
      <x:c r="C6" s="16" t="n">
        <x:v>43.6</x:v>
      </x:c>
      <x:c r="D6" s="16" t="n">
        <x:v>3.43</x:v>
      </x:c>
      <x:c r="E6" s="16" t="n">
        <x:v>495.17</x:v>
      </x:c>
      <x:c r="F6" s="16" t="n">
        <x:f>SUM(C6:E6)</x:f>
        <x:v>542.2</x:v>
      </x:c>
      <x:c r="G6" s="16" t="n">
        <x:f>F6*12</x:f>
        <x:v>6506.400000000001</x:v>
      </x:c>
      <x:c r="H6" s="18" t="n">
        <x:f>(F6-$F$5)/$F$5</x:f>
        <x:v>0.09999797123207092</x:v>
      </x:c>
    </x:row>
    <x:row r="7">
      <x:c r="A7" s="2" t="str">
        <x:v>Southeast Asia</x:v>
      </x:c>
      <x:c r="B7" s="2" t="str">
        <x:v>Azure</x:v>
      </x:c>
      <x:c r="C7" s="16" t="n">
        <x:v>45.59</x:v>
      </x:c>
      <x:c r="D7" s="16" t="n">
        <x:v>3.59</x:v>
      </x:c>
      <x:c r="E7" s="16" t="n">
        <x:v>517.67</x:v>
      </x:c>
      <x:c r="F7" s="16" t="n">
        <x:f>SUM(C7:E7)</x:f>
        <x:v>566.8499999999999</x:v>
      </x:c>
      <x:c r="G7" s="16" t="n">
        <x:f>F7*12</x:f>
        <x:v>6802.199999999999</x:v>
      </x:c>
      <x:c r="H7" s="18" t="n">
        <x:f>(F7-$F$5)/$F$5</x:f>
        <x:v>0.15000710068775222</x:v>
      </x:c>
    </x:row>
    <x:row r="8">
      <x:c r="A8" s="2"/>
      <x:c r="B8" s="2"/>
      <x:c r="C8" s="16"/>
      <x:c r="D8" s="16"/>
      <x:c r="E8" s="16"/>
      <x:c r="F8" s="16"/>
      <x:c r="G8" s="16"/>
      <x:c r="H8" s="18"/>
    </x:row>
    <x:row r="9">
      <x:c r="A9" s="2"/>
      <x:c r="B9" s="2"/>
      <x:c r="C9" s="16"/>
      <x:c r="D9" s="16"/>
      <x:c r="E9" s="16"/>
      <x:c r="F9" s="16"/>
      <x:c r="G9" s="16"/>
      <x:c r="H9" s="18"/>
    </x:row>
    <x:row r="10">
      <x:c r="A10" s="2"/>
      <x:c r="B10" s="2"/>
      <x:c r="C10" s="16"/>
      <x:c r="D10" s="16"/>
      <x:c r="E10" s="16"/>
      <x:c r="F10" s="16"/>
      <x:c r="G10" s="16"/>
      <x:c r="H10" s="18"/>
    </x:row>
    <x:row r="11">
      <x:c r="A11" s="2"/>
      <x:c r="B11" s="2"/>
      <x:c r="C11" s="16"/>
      <x:c r="D11" s="16"/>
      <x:c r="E11" s="16"/>
      <x:c r="F11" s="16"/>
      <x:c r="G11" s="16"/>
      <x:c r="H11" s="18"/>
    </x:row>
    <x:row r="12">
      <x:c r="A12" s="2"/>
      <x:c r="B12" s="2"/>
      <x:c r="C12" s="16"/>
      <x:c r="D12" s="16"/>
      <x:c r="E12" s="16"/>
      <x:c r="F12" s="16"/>
      <x:c r="G12" s="16"/>
      <x:c r="H12" s="18"/>
    </x:row>
    <x:row r="13">
      <x:c r="A13" s="2"/>
      <x:c r="B13" s="2"/>
      <x:c r="C13" s="16"/>
      <x:c r="D13" s="16"/>
      <x:c r="E13" s="16"/>
      <x:c r="F13" s="16"/>
      <x:c r="G13" s="16"/>
      <x:c r="H13" s="18"/>
    </x:row>
    <x:row r="14">
      <x:c r="A14" s="2"/>
      <x:c r="B14" s="2"/>
      <x:c r="C14" s="16"/>
      <x:c r="D14" s="16"/>
      <x:c r="E14" s="16"/>
      <x:c r="F14" s="16"/>
      <x:c r="G14" s="16"/>
      <x:c r="H14" s="18"/>
    </x:row>
    <x:row r="15">
      <x:c r="A15" s="2"/>
      <x:c r="B15" s="2"/>
      <x:c r="C15" s="16"/>
      <x:c r="D15" s="16"/>
      <x:c r="E15" s="16"/>
      <x:c r="F15" s="16"/>
      <x:c r="G15" s="16"/>
      <x:c r="H15" s="18"/>
    </x:row>
    <x:row r="16">
      <x:c r="A16" s="2"/>
      <x:c r="B16" s="2"/>
      <x:c r="C16" s="16"/>
      <x:c r="D16" s="16"/>
      <x:c r="E16" s="16"/>
      <x:c r="F16" s="16"/>
      <x:c r="G16" s="16"/>
      <x:c r="H16" s="18"/>
    </x:row>
    <x:row r="17">
      <x:c r="A17" s="2"/>
      <x:c r="B17" s="2"/>
      <x:c r="C17" s="16"/>
      <x:c r="D17" s="16"/>
      <x:c r="E17" s="16"/>
      <x:c r="F17" s="16"/>
      <x:c r="G17" s="16"/>
      <x:c r="H17" s="18"/>
    </x:row>
    <x:row r="18">
      <x:c r="A18" s="2"/>
      <x:c r="B18" s="2"/>
      <x:c r="C18" s="16"/>
      <x:c r="D18" s="16"/>
      <x:c r="E18" s="16"/>
      <x:c r="F18" s="16"/>
      <x:c r="G18" s="16"/>
      <x:c r="H18" s="18"/>
    </x:row>
    <x:row r="19">
      <x:c r="A19" s="2"/>
      <x:c r="B19" s="2"/>
      <x:c r="C19" s="16"/>
      <x:c r="D19" s="16"/>
      <x:c r="E19" s="16"/>
      <x:c r="F19" s="16"/>
      <x:c r="G19" s="16"/>
      <x:c r="H19" s="18"/>
    </x:row>
    <x:row r="20">
      <x:c r="A20" s="2"/>
      <x:c r="B20" s="2"/>
      <x:c r="C20" s="16"/>
      <x:c r="D20" s="16"/>
      <x:c r="E20" s="16"/>
      <x:c r="F20" s="16"/>
      <x:c r="G20" s="16"/>
      <x:c r="H20" s="1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81.37999725341797" hidden="0" customWidth="1"/>
  </x:cols>
  <x:sheetData>
    <x:row r="1">
      <x:c r="A1" s="6" t="str">
        <x:v>Pricing Assumptions</x:v>
      </x:c>
      <x:c r="B1" s="6" t="str">
        <x:v>Value</x:v>
      </x:c>
    </x:row>
    <x:row r="2">
      <x:c r="A2" s="2" t="str">
        <x:v>Workload</x:v>
      </x:c>
      <x:c r="B2" s="2" t="str">
        <x:v>Small web application</x:v>
      </x:c>
    </x:row>
    <x:row r="3">
      <x:c r="A3" s="2" t="str">
        <x:v>Usage hours</x:v>
      </x:c>
      <x:c r="B3" s="2" t="str">
        <x:v>730 hours per month</x:v>
      </x:c>
    </x:row>
    <x:row r="4">
      <x:c r="A4" s="2" t="str">
        <x:v>Compute size</x:v>
      </x:c>
      <x:c r="B4" s="2" t="str">
        <x:v>2 vCPU / 4 GB RAM equivalent where available</x:v>
      </x:c>
    </x:row>
    <x:row r="5">
      <x:c r="A5" s="2" t="str">
        <x:v>Object storage</x:v>
      </x:c>
      <x:c r="B5" s="2" t="str">
        <x:v>100 GB</x:v>
      </x:c>
    </x:row>
    <x:row r="6">
      <x:c r="A6" s="2" t="str">
        <x:v>Database</x:v>
      </x:c>
      <x:c r="B6" s="2" t="str">
        <x:v>Managed relational database service</x:v>
      </x:c>
    </x:row>
    <x:row r="7">
      <x:c r="A7" s="2" t="str">
        <x:v>Pricing model</x:v>
      </x:c>
      <x:c r="B7" s="2" t="str">
        <x:v>Pay-as-you-go / on-demand</x:v>
      </x:c>
    </x:row>
    <x:row r="8">
      <x:c r="A8" s="2" t="str">
        <x:v>Support</x:v>
      </x:c>
      <x:c r="B8" s="2" t="str">
        <x:v>No paid enterprise support</x:v>
      </x:c>
    </x:row>
    <x:row r="9">
      <x:c r="A9" s="2" t="str">
        <x:v>Network assumption</x:v>
      </x:c>
      <x:c r="B9" s="2" t="str">
        <x:v>Single-zone deployment where possible; inter-zone data compared at approximately $0.01/GB</x:v>
      </x:c>
    </x:row>
    <x:row r="10">
      <x:c r="A10" s="2" t="str">
        <x:v>Repository purpose</x:v>
      </x:c>
      <x:c r="B10" s="2" t="str">
        <x:v>Evaluation-ready comparison with three services, regional analysis, annual totals, and percentage differences</x:v>
      </x:c>
    </x:row>
  </x:sheetData>
  <x:pageMargins left="0.7" right="0.7" top="0.75" bottom="0.75" header="0.3" footer="0.3"/>
</x:worksheet>
</file>